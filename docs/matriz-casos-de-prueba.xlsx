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<sst xmlns="http://schemas.openxmlformats.org/spreadsheetml/2006/main" count="147" uniqueCount="114">
  <si>
    <t xml:space="preserve">Matriz de casos de prueba — Grupo 4 · Arquitectura con API Gateway (Kong)</t>
  </si>
  <si>
    <t xml:space="preserve">Identificador</t>
  </si>
  <si>
    <t xml:space="preserve">Nombre</t>
  </si>
  <si>
    <t xml:space="preserve">Tipo de prueba</t>
  </si>
  <si>
    <t xml:space="preserve">Objetivo</t>
  </si>
  <si>
    <t xml:space="preserve">Componentes involucrados</t>
  </si>
  <si>
    <t xml:space="preserve">Precondiciones</t>
  </si>
  <si>
    <t xml:space="preserve">Datos de entrada</t>
  </si>
  <si>
    <t xml:space="preserve">Procedimiento</t>
  </si>
  <si>
    <t xml:space="preserve">Resultado esperado</t>
  </si>
  <si>
    <t xml:space="preserve">Resultado obtenido</t>
  </si>
  <si>
    <t xml:space="preserve">Evidencia</t>
  </si>
  <si>
    <t xml:space="preserve">Estado</t>
  </si>
  <si>
    <t xml:space="preserve">Responsable</t>
  </si>
  <si>
    <t xml:space="preserve">CP-01</t>
  </si>
  <si>
    <t xml:space="preserve">Enrutamiento a Productos</t>
  </si>
  <si>
    <t xml:space="preserve">Integración</t>
  </si>
  <si>
    <t xml:space="preserve">Verificar que el gateway enruta /api/productos al servicio Productos y reescribe la ruta (strip_path).</t>
  </si>
  <si>
    <t xml:space="preserve">Cliente, Kong, Productos</t>
  </si>
  <si>
    <t xml:space="preserve">Laboratorio arriba (docker compose ps: 3 running).</t>
  </si>
  <si>
    <t xml:space="preserve">GET /api/productos · Header apikey: clave-grupo4-2026</t>
  </si>
  <si>
    <t xml:space="preserve">1. Enviar la solicitud por el puerto 8000.
2. Revisar código, cuerpo y cabeceras.
3. Revisar log de productos.</t>
  </si>
  <si>
    <t xml:space="preserve">200 OK; arreglo de productos con id, nombre, precio, stock; cabecera X-Request-ID.</t>
  </si>
  <si>
    <t xml:space="preserve">200 OK en 264 ms. Arreglo con 3 productos (id, nombre, precio, stock). Cabecera X-Request-ID presente. Test Results: 3/3 PASSED.</t>
  </si>
  <si>
    <t xml:space="preserve">reporte-funcional.html</t>
  </si>
  <si>
    <t xml:space="preserve">Aprobado</t>
  </si>
  <si>
    <t xml:space="preserve">César</t>
  </si>
  <si>
    <t xml:space="preserve">CP-02</t>
  </si>
  <si>
    <t xml:space="preserve">Enrutamiento a Pedidos</t>
  </si>
  <si>
    <t xml:space="preserve">Verificar que el gateway enruta /api/pedidos al servicio Pedidos.</t>
  </si>
  <si>
    <t xml:space="preserve">Cliente, Kong, Pedidos</t>
  </si>
  <si>
    <t xml:space="preserve">Laboratorio arriba.</t>
  </si>
  <si>
    <t xml:space="preserve">GET /api/pedidos · Header apikey: clave-grupo4-2026</t>
  </si>
  <si>
    <t xml:space="preserve">1. Enviar la solicitud.
2. Revisar código y cabecera X-Kong-Upstream-Latency.</t>
  </si>
  <si>
    <t xml:space="preserve">200 OK; arreglo de pedidos; cabecera X-Kong-Upstream-Latency presente.</t>
  </si>
  <si>
    <t xml:space="preserve">200 OK en 169 ms. Arreglo vacío [] (aún no hay pedidos creados). Cabecera X-Kong-Upstream-Latency presente. Test Results: 3/3 PASSED.</t>
  </si>
  <si>
    <t xml:space="preserve">CP-03</t>
  </si>
  <si>
    <t xml:space="preserve">Solicitud sin API key</t>
  </si>
  <si>
    <t xml:space="preserve">Integración (validación)</t>
  </si>
  <si>
    <t xml:space="preserve">Verificar que el gateway rechaza solicitudes sin credencial antes de llegar al servicio.</t>
  </si>
  <si>
    <t xml:space="preserve">Cliente, Kong (plugin key-auth)</t>
  </si>
  <si>
    <t xml:space="preserve">GET /api/productos sin header apikey</t>
  </si>
  <si>
    <t xml:space="preserve">1. Enviar la solicitud sin apikey.
2. Revisar respuesta.
3. Confirmar en log-servicios que Productos NO registró la solicitud.</t>
  </si>
  <si>
    <t xml:space="preserve">401 Unauthorized; mensaje 'No API key found in request' de Kong; sin cabecera X-Kong-Upstream-Latency.</t>
  </si>
  <si>
    <t xml:space="preserve">401 Unauthorized en 20 ms. Mensaje de Kong "No API key found in request". Sin cabecera X-Kong-Upstream-Latency (la solicitud no llegó al servicio). Test Results: 2/2 PASSED.</t>
  </si>
  <si>
    <t xml:space="preserve">reporte-funcional.html + log-servicios.txt</t>
  </si>
  <si>
    <t xml:space="preserve">Valeria</t>
  </si>
  <si>
    <t xml:space="preserve">CP-04</t>
  </si>
  <si>
    <t xml:space="preserve">Ruta no registrada</t>
  </si>
  <si>
    <t xml:space="preserve">Verificar el comportamiento del gateway ante una ruta que no existe.</t>
  </si>
  <si>
    <t xml:space="preserve">Cliente, Kong</t>
  </si>
  <si>
    <t xml:space="preserve">GET /api/clientes · Header apikey: clave-grupo4-2026</t>
  </si>
  <si>
    <t xml:space="preserve">1. Enviar la solicitud a una ruta no configurada.
2. Revisar respuesta.</t>
  </si>
  <si>
    <t xml:space="preserve">404 Not Found; mensaje 'no Route matched with those values'.</t>
  </si>
  <si>
    <t xml:space="preserve">404 Not Found en 165 ms. Mensaje de Kong "no Route matched with those values". Test Results: 2/2 PASSED.</t>
  </si>
  <si>
    <t xml:space="preserve">CP-05</t>
  </si>
  <si>
    <t xml:space="preserve">Pedido con datos inválidos</t>
  </si>
  <si>
    <t xml:space="preserve">Integración (error funcional)</t>
  </si>
  <si>
    <t xml:space="preserve">Verificar que la validación de datos del servicio se propaga correctamente al cliente a través del gateway.</t>
  </si>
  <si>
    <t xml:space="preserve">POST /api/pedidos · Header apikey: clave-grupo4-2026 · body {"productoId":1,"cantidad":0}</t>
  </si>
  <si>
    <t xml:space="preserve">1. Enviar el pedido con cantidad 0.
2. Revisar código y cuerpo.</t>
  </si>
  <si>
    <t xml:space="preserve">400 Bad Request; error DATOS_INVALIDOS.</t>
  </si>
  <si>
    <t xml:space="preserve">400 Bad Request en 272 ms. error DATOS_INVALIDOS con detalle "productoId y cantidad deben ser enteros y cantidad &gt; 0". El error del servicio Pedidos se propagó por Kong. Test Results: 2/2 PASSED.</t>
  </si>
  <si>
    <t xml:space="preserve">Paulina</t>
  </si>
  <si>
    <t xml:space="preserve">CP-06</t>
  </si>
  <si>
    <t xml:space="preserve">Pedido de producto inexistente</t>
  </si>
  <si>
    <t xml:space="preserve">Verificar la integración Pedidos → Productos cuando el producto no existe.</t>
  </si>
  <si>
    <t xml:space="preserve">Cliente, Kong, Pedidos, Productos</t>
  </si>
  <si>
    <t xml:space="preserve">Laboratorio arriba; producto 99 no existe.</t>
  </si>
  <si>
    <t xml:space="preserve">POST /api/pedidos · Header apikey: clave-grupo4-2026 · body {"productoId":99,"cantidad":1}</t>
  </si>
  <si>
    <t xml:space="preserve">1. Enviar el pedido.
2. Revisar respuesta.
3. Ver en logs que Pedidos consultó a Productos.</t>
  </si>
  <si>
    <t xml:space="preserve">422 Unprocessable Entity; error PRODUCTO_NO_EXISTE.</t>
  </si>
  <si>
    <t xml:space="preserve">422 Unprocessable Entity en 228 ms. error PRODUCTO_NO_EXISTE, productoId 99. Pedidos consultó a Productos, que respondió 404, y Pedidos lo tradujo a 422. Test Results: 2/2 PASSED</t>
  </si>
  <si>
    <t xml:space="preserve">CP-07</t>
  </si>
  <si>
    <t xml:space="preserve">Flujo completo: crear y consultar pedido</t>
  </si>
  <si>
    <t xml:space="preserve">Sistema</t>
  </si>
  <si>
    <t xml:space="preserve">Validar de extremo a extremo que un pedido se crea y se consulta a través del gateway con el total correcto.</t>
  </si>
  <si>
    <t xml:space="preserve">Laboratorio arriba; producto 1 con stock ≥ 2.</t>
  </si>
  <si>
    <t xml:space="preserve">1) POST /api/pedidos body {"productoId":1,"cantidad":2}
2) GET /api/pedidos/{{pedidoId}} · Header apikey: clave-grupo4-2026</t>
  </si>
  <si>
    <t xml:space="preserve">1. Crear el pedido y guardar su id.
2. Consultarlo por id.
3. Comparar datos.</t>
  </si>
  <si>
    <t xml:space="preserve">1) 201 Created, total = 360000, estado CREADO.
2) 200 OK con el mismo id y estado.</t>
  </si>
  <si>
    <t xml:space="preserve">1) 201 Created en 169 ms: pedido id 1, total 360000, estado CREADO. 2) 200 OK en 23 ms: mismo id, productoId, cantidad, total y estado. Test Results: 2/2 PASSED en ambos pasos.</t>
  </si>
  <si>
    <t xml:space="preserve">CP-08</t>
  </si>
  <si>
    <t xml:space="preserve">Servicio Pedidos no disponible</t>
  </si>
  <si>
    <t xml:space="preserve">Integración (falla técnica)</t>
  </si>
  <si>
    <t xml:space="preserve">Verificar que el gateway responde de forma controlada cuando un servicio cae y que el otro servicio no se ve afectado.</t>
  </si>
  <si>
    <t xml:space="preserve">Cliente, Kong, Pedidos (detenido), Productos</t>
  </si>
  <si>
    <t xml:space="preserve">Ejecutar: docker compose stop pedidos.</t>
  </si>
  <si>
    <t xml:space="preserve">GET /api/pedidos y GET /api/productos · Header apikey: clave-grupo4-2026</t>
  </si>
  <si>
    <t xml:space="preserve">1. Detener Pedidos.
2. Consultar /api/pedidos.
3. Consultar /api/productos.
4. Encender Pedidos y verificar recuperación.</t>
  </si>
  <si>
    <t xml:space="preserve">/api/pedidos: 502, 503 o 504 con mensaje de Kong en menos de 5 s.
/api/productos: 200 (aislamiento).</t>
  </si>
  <si>
    <t xml:space="preserve">Con Pedidos detenido: GET /api/pedidos → 504 Gateway Timeout en 2,09 s (Kong: "upstream timed out while connecting", corta el connect_timeout de 2 s). GET /api/productos → 200 OK en 132 ms (aislamiento correcto). Pedidos se recuperó al encenderlo.
HALLAZGO H-01: en la primera ejecución la respuesta fue 503 "name resolution failed" en 12,08 s, fuera del criterio de 5 s (esa corrida no cumplió). Causa probable: al detener el contenedor, el DNS interno de Docker deja de resolver "pedidos" y Kong espera al resolvedor DNS. En la repetición Kong ya tenía la IP en caché y falló al conectar en 2 s. Mejora propuesta: ajustar los tiempos del resolvedor DNS de Kong.</t>
  </si>
  <si>
    <t xml:space="preserve">reporte-servicio-caido.html + log-gateway.txt (líneas [error] upstream timed out)</t>
  </si>
  <si>
    <t xml:space="preserve">Camilo</t>
  </si>
  <si>
    <t xml:space="preserve">CP-09</t>
  </si>
  <si>
    <t xml:space="preserve">Timeout del servicio Productos</t>
  </si>
  <si>
    <t xml:space="preserve">Verificar que el gateway corta la espera cuando el servicio supera el read_timeout (3 s).</t>
  </si>
  <si>
    <t xml:space="preserve">Laboratorio arriba; read_timeout = 3000 ms en kong.yml.</t>
  </si>
  <si>
    <t xml:space="preserve">GET /api/productos?demoraMs=5000 · Header apikey: clave-grupo4-2026</t>
  </si>
  <si>
    <t xml:space="preserve">1. Enviar la solicitud con demora simulada de 5 s.
2. Medir el tiempo de respuesta.</t>
  </si>
  <si>
    <t xml:space="preserve">504 Gateway Timeout en menos de 4,5 s.</t>
  </si>
  <si>
    <t xml:space="preserve">504 Gateway Timeout en 3,03 s. Mensaje de Kong "The upstream server is timing out". El gateway cortó a los 3 s (read_timeout) sin esperar los 5 s del servicio. Test Results: 2/2 PASSED.</t>
  </si>
  <si>
    <t xml:space="preserve">CP-10</t>
  </si>
  <si>
    <t xml:space="preserve">Límite de tráfico (rate limiting)</t>
  </si>
  <si>
    <t xml:space="preserve">Verificar que el gateway protege a los servicios limitando a 5 solicitudes por segundo.</t>
  </si>
  <si>
    <t xml:space="preserve">Cliente, Kong (plugin rate-limiting), Productos</t>
  </si>
  <si>
    <t xml:space="preserve">10 × GET /api/productos seguidas · Header apikey: clave-grupo4-2026</t>
  </si>
  <si>
    <t xml:space="preserve">1. Ejecutar scripts/prueba-rate-limit.
2. Contar respuestas 200 y 429.</t>
  </si>
  <si>
    <t xml:space="preserve">Primeras ~5 en 200; las siguientes en 429 Too Many Requests.</t>
  </si>
  <si>
    <t xml:space="preserve">10 solicitudes seguidas a GET /api/productos con el script (2 oct 2026, 10:39:51): 5 respondieron 200 y 5 respondieron 429 (Too Many Requests). Secuencia: 200,200,200,200,200,429,429,429,429,429. Cabeceras RateLimit-Limit: 5 y RateLimit-Remaining confirman el contador. Observación: con un bucle manual de curl.exe salió 200×5, 429×3, 200×2, porque el bucle tardó más de 1 s y las últimas solicitudes cayeron en una ventana nueva; no es un defecto.</t>
  </si>
  <si>
    <t xml:space="preserve">resultado-rate-limit.txt</t>
  </si>
  <si>
    <t xml:space="preserve">Aprobados</t>
  </si>
  <si>
    <t xml:space="preserve">Fallidos</t>
  </si>
  <si>
    <t xml:space="preserve">% aprobación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</si>
</sst>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2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G10" activePane="bottomRight" state="frozen"/>
      <selection pane="topLeft" activeCell="A1" activeCellId="0" sqref="A1"/>
      <selection pane="topRight" activeCell="G1" activeCellId="0" sqref="G1"/>
      <selection pane="bottomLeft" activeCell="A10" activeCellId="0" sqref="A10"/>
      <selection pane="bottomRight" activeCell="I14" activeCellId="0" sqref="I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30"/>
    <col collapsed="false" customWidth="true" hidden="false" outlineLevel="0" max="8" min="8" style="0" width="36"/>
    <col collapsed="false" customWidth="true" hidden="false" outlineLevel="0" max="9" min="9" style="0" width="34"/>
    <col collapsed="false" customWidth="true" hidden="false" outlineLevel="0" max="10" min="10" style="0" width="28"/>
    <col collapsed="false" customWidth="true" hidden="false" outlineLevel="0" max="11" min="11" style="0" width="24"/>
    <col collapsed="false" customWidth="true" hidden="false" outlineLevel="0" max="12" min="12" style="0" width="11"/>
    <col collapsed="false" customWidth="true" hidden="false" outlineLevel="0" max="13" min="13" style="0" width="16.11"/>
  </cols>
  <sheetData>
    <row r="1" customFormat="false" ht="17.25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/>
    </row>
    <row r="4" customFormat="false" ht="27" hidden="false" customHeight="tru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</row>
    <row r="5" customFormat="false" ht="57" hidden="false" customHeight="tru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4" t="s">
        <v>25</v>
      </c>
      <c r="M5" s="4" t="s">
        <v>26</v>
      </c>
    </row>
    <row r="6" customFormat="false" ht="57" hidden="false" customHeight="true" outlineLevel="0" collapsed="false">
      <c r="A6" s="4" t="s">
        <v>27</v>
      </c>
      <c r="B6" s="4" t="s">
        <v>28</v>
      </c>
      <c r="C6" s="4" t="s">
        <v>16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35</v>
      </c>
      <c r="K6" s="4" t="s">
        <v>24</v>
      </c>
      <c r="L6" s="4" t="s">
        <v>25</v>
      </c>
      <c r="M6" s="4" t="s">
        <v>26</v>
      </c>
    </row>
    <row r="7" customFormat="false" ht="68.25" hidden="false" customHeight="true" outlineLevel="0" collapsed="false">
      <c r="A7" s="4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31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  <c r="L7" s="4" t="s">
        <v>25</v>
      </c>
      <c r="M7" s="4" t="s">
        <v>46</v>
      </c>
    </row>
    <row r="8" customFormat="false" ht="45" hidden="false" customHeight="true" outlineLevel="0" collapsed="false">
      <c r="A8" s="4" t="s">
        <v>47</v>
      </c>
      <c r="B8" s="4" t="s">
        <v>48</v>
      </c>
      <c r="C8" s="4" t="s">
        <v>16</v>
      </c>
      <c r="D8" s="4" t="s">
        <v>49</v>
      </c>
      <c r="E8" s="4" t="s">
        <v>50</v>
      </c>
      <c r="F8" s="4" t="s">
        <v>31</v>
      </c>
      <c r="G8" s="4" t="s">
        <v>51</v>
      </c>
      <c r="H8" s="4" t="s">
        <v>52</v>
      </c>
      <c r="I8" s="4" t="s">
        <v>53</v>
      </c>
      <c r="J8" s="4" t="s">
        <v>54</v>
      </c>
      <c r="K8" s="4" t="s">
        <v>24</v>
      </c>
      <c r="L8" s="4" t="s">
        <v>25</v>
      </c>
      <c r="M8" s="4" t="s">
        <v>46</v>
      </c>
    </row>
    <row r="9" customFormat="false" ht="68.25" hidden="false" customHeight="true" outlineLevel="0" collapsed="false">
      <c r="A9" s="4" t="s">
        <v>55</v>
      </c>
      <c r="B9" s="4" t="s">
        <v>56</v>
      </c>
      <c r="C9" s="4" t="s">
        <v>57</v>
      </c>
      <c r="D9" s="4" t="s">
        <v>58</v>
      </c>
      <c r="E9" s="4" t="s">
        <v>30</v>
      </c>
      <c r="F9" s="4" t="s">
        <v>31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24</v>
      </c>
      <c r="L9" s="4" t="s">
        <v>25</v>
      </c>
      <c r="M9" s="4" t="s">
        <v>63</v>
      </c>
    </row>
    <row r="10" customFormat="false" ht="79.5" hidden="false" customHeight="true" outlineLevel="0" collapsed="false">
      <c r="A10" s="4" t="s">
        <v>64</v>
      </c>
      <c r="B10" s="4" t="s">
        <v>65</v>
      </c>
      <c r="C10" s="4" t="s">
        <v>57</v>
      </c>
      <c r="D10" s="4" t="s">
        <v>66</v>
      </c>
      <c r="E10" s="4" t="s">
        <v>67</v>
      </c>
      <c r="F10" s="4" t="s">
        <v>68</v>
      </c>
      <c r="G10" s="4" t="s">
        <v>69</v>
      </c>
      <c r="H10" s="4" t="s">
        <v>70</v>
      </c>
      <c r="I10" s="4" t="s">
        <v>71</v>
      </c>
      <c r="J10" s="4" t="s">
        <v>72</v>
      </c>
      <c r="K10" s="4" t="s">
        <v>45</v>
      </c>
      <c r="L10" s="4" t="s">
        <v>25</v>
      </c>
      <c r="M10" s="4" t="s">
        <v>63</v>
      </c>
    </row>
    <row r="11" customFormat="false" ht="68.25" hidden="false" customHeight="true" outlineLevel="0" collapsed="false">
      <c r="A11" s="4" t="s">
        <v>73</v>
      </c>
      <c r="B11" s="4" t="s">
        <v>74</v>
      </c>
      <c r="C11" s="4" t="s">
        <v>75</v>
      </c>
      <c r="D11" s="4" t="s">
        <v>76</v>
      </c>
      <c r="E11" s="4" t="s">
        <v>67</v>
      </c>
      <c r="F11" s="4" t="s">
        <v>77</v>
      </c>
      <c r="G11" s="4" t="s">
        <v>78</v>
      </c>
      <c r="H11" s="4" t="s">
        <v>79</v>
      </c>
      <c r="I11" s="4" t="s">
        <v>80</v>
      </c>
      <c r="J11" s="4" t="s">
        <v>81</v>
      </c>
      <c r="K11" s="4" t="s">
        <v>24</v>
      </c>
      <c r="L11" s="4" t="s">
        <v>25</v>
      </c>
      <c r="M11" s="4" t="s">
        <v>63</v>
      </c>
    </row>
    <row r="12" customFormat="false" ht="136.5" hidden="false" customHeight="true" outlineLevel="0" collapsed="false">
      <c r="A12" s="4" t="s">
        <v>82</v>
      </c>
      <c r="B12" s="4" t="s">
        <v>83</v>
      </c>
      <c r="C12" s="4" t="s">
        <v>84</v>
      </c>
      <c r="D12" s="4" t="s">
        <v>85</v>
      </c>
      <c r="E12" s="4" t="s">
        <v>86</v>
      </c>
      <c r="F12" s="4" t="s">
        <v>87</v>
      </c>
      <c r="G12" s="4" t="s">
        <v>88</v>
      </c>
      <c r="H12" s="4" t="s">
        <v>89</v>
      </c>
      <c r="I12" s="4" t="s">
        <v>90</v>
      </c>
      <c r="J12" s="4" t="s">
        <v>91</v>
      </c>
      <c r="K12" s="4" t="s">
        <v>92</v>
      </c>
      <c r="L12" s="4" t="s">
        <v>25</v>
      </c>
      <c r="M12" s="4" t="s">
        <v>93</v>
      </c>
    </row>
    <row r="13" customFormat="false" ht="68.25" hidden="false" customHeight="true" outlineLevel="0" collapsed="false">
      <c r="A13" s="4" t="s">
        <v>94</v>
      </c>
      <c r="B13" s="4" t="s">
        <v>95</v>
      </c>
      <c r="C13" s="4" t="s">
        <v>84</v>
      </c>
      <c r="D13" s="4" t="s">
        <v>96</v>
      </c>
      <c r="E13" s="4" t="s">
        <v>18</v>
      </c>
      <c r="F13" s="4" t="s">
        <v>97</v>
      </c>
      <c r="G13" s="4" t="s">
        <v>98</v>
      </c>
      <c r="H13" s="4" t="s">
        <v>99</v>
      </c>
      <c r="I13" s="4" t="s">
        <v>100</v>
      </c>
      <c r="J13" s="4" t="s">
        <v>101</v>
      </c>
      <c r="K13" s="4" t="s">
        <v>24</v>
      </c>
      <c r="L13" s="4" t="s">
        <v>25</v>
      </c>
      <c r="M13" s="4" t="s">
        <v>93</v>
      </c>
    </row>
    <row r="14" customFormat="false" ht="79.5" hidden="false" customHeight="true" outlineLevel="0" collapsed="false">
      <c r="A14" s="4" t="s">
        <v>102</v>
      </c>
      <c r="B14" s="4" t="s">
        <v>103</v>
      </c>
      <c r="C14" s="4" t="s">
        <v>75</v>
      </c>
      <c r="D14" s="4" t="s">
        <v>104</v>
      </c>
      <c r="E14" s="4" t="s">
        <v>105</v>
      </c>
      <c r="F14" s="4" t="s">
        <v>31</v>
      </c>
      <c r="G14" s="4" t="s">
        <v>106</v>
      </c>
      <c r="H14" s="4" t="s">
        <v>107</v>
      </c>
      <c r="I14" s="4" t="s">
        <v>108</v>
      </c>
      <c r="J14" s="4" t="s">
        <v>109</v>
      </c>
      <c r="K14" s="4" t="s">
        <v>110</v>
      </c>
      <c r="L14" s="4" t="s">
        <v>25</v>
      </c>
      <c r="M14" s="4" t="s">
        <v>46</v>
      </c>
    </row>
    <row r="16" customFormat="false" ht="14.25" hidden="false" customHeight="false" outlineLevel="0" collapsed="false">
      <c r="A16" s="5" t="s">
        <v>111</v>
      </c>
      <c r="B16" s="6" t="n">
        <f aca="false">COUNTIF(L5:L14,"Aprobado")</f>
        <v>10</v>
      </c>
    </row>
    <row r="17" customFormat="false" ht="14.25" hidden="false" customHeight="false" outlineLevel="0" collapsed="false">
      <c r="A17" s="5" t="s">
        <v>112</v>
      </c>
      <c r="B17" s="6" t="n">
        <f aca="false">COUNTIF(L5:L14,"Fallido")</f>
        <v>0</v>
      </c>
    </row>
    <row r="18" customFormat="false" ht="14.25" hidden="false" customHeight="false" outlineLevel="0" collapsed="false">
      <c r="A18" s="5" t="s">
        <v>113</v>
      </c>
      <c r="B18" s="6" t="n">
        <f aca="false">IFERROR(B16/(B16+B17),0)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2026-09-29T11:58:34Z</dcterms:created>
  <dc:creator>openpyxl</dc:creator>
  <dc:description/>
  <dc:language>en-US</dc:language>
  <cp:lastModifiedBy>Pau</cp:lastModifiedBy>
  <dcterms:modified xsi:type="dcterms:W3CDTF">2026-10-03T19:59:02Z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